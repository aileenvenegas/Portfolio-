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SC\Desktop\R\"/>
    </mc:Choice>
  </mc:AlternateContent>
  <xr:revisionPtr revIDLastSave="0" documentId="13_ncr:1_{61F20477-330C-44BA-861D-705948627C83}" xr6:coauthVersionLast="36" xr6:coauthVersionMax="47" xr10:uidLastSave="{00000000-0000-0000-0000-000000000000}"/>
  <bookViews>
    <workbookView xWindow="0" yWindow="0" windowWidth="21570" windowHeight="7590" tabRatio="799" xr2:uid="{37E196D2-F38D-433B-9C2A-79C950C6B482}"/>
  </bookViews>
  <sheets>
    <sheet name="Cadam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6" i="5" l="1"/>
  <c r="Q27" i="5"/>
  <c r="Q28" i="5"/>
  <c r="Q29" i="5"/>
  <c r="Q30" i="5"/>
  <c r="Q31" i="5"/>
  <c r="Q32" i="5"/>
  <c r="Q33" i="5"/>
  <c r="Q34" i="5"/>
  <c r="Q35" i="5"/>
  <c r="Q36" i="5"/>
  <c r="Q37" i="5"/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</calcChain>
</file>

<file path=xl/sharedStrings.xml><?xml version="1.0" encoding="utf-8"?>
<sst xmlns="http://schemas.openxmlformats.org/spreadsheetml/2006/main" count="18" uniqueCount="18">
  <si>
    <t>kWh</t>
  </si>
  <si>
    <t>Carga DBO5 + NKT</t>
  </si>
  <si>
    <t>YEAR</t>
  </si>
  <si>
    <t>MONTH</t>
  </si>
  <si>
    <t xml:space="preserve">Reactor T° </t>
  </si>
  <si>
    <t>Sludge blanket height</t>
  </si>
  <si>
    <t>Settling test</t>
  </si>
  <si>
    <t xml:space="preserve">Real Ton </t>
  </si>
  <si>
    <t>Weighted moisture</t>
  </si>
  <si>
    <t>Tons of Dry Solids (DS)</t>
  </si>
  <si>
    <t>Chemical Oxygen Demand (CDO)</t>
  </si>
  <si>
    <t>Biochemical Oxygen Demand (BOD)</t>
  </si>
  <si>
    <t xml:space="preserve">BOD5 load </t>
  </si>
  <si>
    <t>Total Kjeldahl Nitrogen (TKN)</t>
  </si>
  <si>
    <t>TKN load</t>
  </si>
  <si>
    <t>Volm3</t>
  </si>
  <si>
    <t>DO</t>
  </si>
  <si>
    <t>MLTSS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</si>
</sst>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1" fontId="2" fillId="0" borderId="1" xfId="0" applyNumberFormat="1" applyFont="1" applyFill="1" applyBorder="1"/>
    <xf numFmtId="0" fontId="1" fillId="0" borderId="0" xfId="0" applyFont="1" applyFill="1" applyBorder="1"/>
    <xf numFmtId="0" fontId="0" fillId="0" borderId="0" xfId="0" applyFill="1"/>
    <xf numFmtId="1" fontId="0" fillId="0" borderId="1" xfId="0" applyNumberForma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7911-BA50-4A4D-AC6A-1BAD6BB9571C}">
  <dimension ref="A1:AI37"/>
  <sheetViews>
    <sheetView tabSelected="1" workbookViewId="0">
      <selection activeCell="K1" sqref="K1"/>
    </sheetView>
  </sheetViews>
  <sheetFormatPr baseColWidth="10" defaultRowHeight="15" x14ac:dyDescent="0.25"/>
  <cols>
    <col min="1" max="2" width="11.5703125" style="6" bestFit="1" customWidth="1"/>
    <col min="3" max="3" width="13.5703125" style="6" bestFit="1" customWidth="1"/>
    <col min="4" max="14" width="11.5703125" style="6" bestFit="1" customWidth="1"/>
    <col min="15" max="18" width="12.5703125" style="6" bestFit="1" customWidth="1"/>
    <col min="19" max="31" width="11.42578125" style="6"/>
    <col min="32" max="32" width="20.7109375" style="6" bestFit="1" customWidth="1"/>
    <col min="33" max="33" width="17.7109375" style="6" bestFit="1" customWidth="1"/>
    <col min="34" max="34" width="18.5703125" style="6" bestFit="1" customWidth="1"/>
    <col min="35" max="16384" width="11.42578125" style="6"/>
  </cols>
  <sheetData>
    <row r="1" spans="1:35" ht="75" x14ac:dyDescent="0.25">
      <c r="A1" s="1" t="s">
        <v>2</v>
      </c>
      <c r="B1" s="2" t="s">
        <v>3</v>
      </c>
      <c r="C1" s="3" t="s">
        <v>15</v>
      </c>
      <c r="D1" s="3" t="s">
        <v>16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17</v>
      </c>
      <c r="L1" s="3" t="s">
        <v>10</v>
      </c>
      <c r="M1" s="3" t="s">
        <v>11</v>
      </c>
      <c r="N1" s="3" t="s">
        <v>13</v>
      </c>
      <c r="O1" s="3" t="s">
        <v>12</v>
      </c>
      <c r="P1" s="3" t="s">
        <v>14</v>
      </c>
      <c r="Q1" s="3" t="s">
        <v>1</v>
      </c>
      <c r="R1" s="3" t="s">
        <v>0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25">
      <c r="A2" s="7">
        <v>2021</v>
      </c>
      <c r="B2" s="4">
        <v>1</v>
      </c>
      <c r="C2" s="4">
        <v>2341427</v>
      </c>
      <c r="D2" s="4">
        <v>1</v>
      </c>
      <c r="E2" s="4">
        <v>17</v>
      </c>
      <c r="F2" s="4">
        <v>130</v>
      </c>
      <c r="G2" s="4">
        <v>428</v>
      </c>
      <c r="H2" s="4">
        <v>2385</v>
      </c>
      <c r="I2" s="7">
        <v>0.79474999999999996</v>
      </c>
      <c r="J2" s="4">
        <v>306</v>
      </c>
      <c r="K2" s="4">
        <v>2403</v>
      </c>
      <c r="L2" s="4">
        <v>284</v>
      </c>
      <c r="M2" s="4">
        <v>151</v>
      </c>
      <c r="N2" s="4">
        <v>62</v>
      </c>
      <c r="O2" s="4">
        <v>746340</v>
      </c>
      <c r="P2" s="4">
        <v>204512</v>
      </c>
      <c r="Q2" s="4">
        <f t="shared" ref="Q2:Q37" si="0">P2+O2</f>
        <v>950852</v>
      </c>
      <c r="R2" s="4">
        <v>825899</v>
      </c>
    </row>
    <row r="3" spans="1:35" x14ac:dyDescent="0.25">
      <c r="A3" s="7">
        <v>2021</v>
      </c>
      <c r="B3" s="4">
        <v>2</v>
      </c>
      <c r="C3" s="4">
        <v>2310871</v>
      </c>
      <c r="D3" s="4">
        <v>2</v>
      </c>
      <c r="E3" s="4">
        <v>20</v>
      </c>
      <c r="F3" s="4">
        <v>133</v>
      </c>
      <c r="G3" s="4">
        <v>425</v>
      </c>
      <c r="H3" s="4">
        <v>1941</v>
      </c>
      <c r="I3" s="7">
        <v>0.79696956521739115</v>
      </c>
      <c r="J3" s="4">
        <v>344</v>
      </c>
      <c r="K3" s="4">
        <v>2544</v>
      </c>
      <c r="L3" s="4">
        <v>391</v>
      </c>
      <c r="M3" s="4">
        <v>187</v>
      </c>
      <c r="N3" s="4">
        <v>47</v>
      </c>
      <c r="O3" s="4">
        <v>693590</v>
      </c>
      <c r="P3" s="4">
        <v>203325</v>
      </c>
      <c r="Q3" s="4">
        <f t="shared" si="0"/>
        <v>896915</v>
      </c>
      <c r="R3" s="4">
        <v>710243</v>
      </c>
    </row>
    <row r="4" spans="1:35" x14ac:dyDescent="0.25">
      <c r="A4" s="7">
        <v>2021</v>
      </c>
      <c r="B4" s="4">
        <v>3</v>
      </c>
      <c r="C4" s="4">
        <v>3066422</v>
      </c>
      <c r="D4" s="4">
        <v>1</v>
      </c>
      <c r="E4" s="4">
        <v>17</v>
      </c>
      <c r="F4" s="4">
        <v>155</v>
      </c>
      <c r="G4" s="4">
        <v>268</v>
      </c>
      <c r="H4" s="4">
        <v>2098</v>
      </c>
      <c r="I4" s="7">
        <v>0.79644347826086959</v>
      </c>
      <c r="J4" s="4">
        <v>327</v>
      </c>
      <c r="K4" s="4">
        <v>1973</v>
      </c>
      <c r="L4" s="4">
        <v>461</v>
      </c>
      <c r="M4" s="4">
        <v>189</v>
      </c>
      <c r="N4" s="4">
        <v>52</v>
      </c>
      <c r="O4" s="4">
        <v>618952</v>
      </c>
      <c r="P4" s="4">
        <v>215025</v>
      </c>
      <c r="Q4" s="4">
        <f t="shared" si="0"/>
        <v>833977</v>
      </c>
      <c r="R4" s="4">
        <v>807142</v>
      </c>
    </row>
    <row r="5" spans="1:35" x14ac:dyDescent="0.25">
      <c r="A5" s="7">
        <v>2021</v>
      </c>
      <c r="B5" s="4">
        <v>4</v>
      </c>
      <c r="C5" s="4">
        <v>2417132</v>
      </c>
      <c r="D5" s="4">
        <v>2</v>
      </c>
      <c r="E5" s="4">
        <v>15</v>
      </c>
      <c r="F5" s="4">
        <v>167</v>
      </c>
      <c r="G5" s="4">
        <v>333</v>
      </c>
      <c r="H5" s="4">
        <v>2540</v>
      </c>
      <c r="I5" s="7">
        <v>0.80820869565217379</v>
      </c>
      <c r="J5" s="4">
        <v>413</v>
      </c>
      <c r="K5" s="4">
        <v>1902</v>
      </c>
      <c r="L5" s="4">
        <v>463</v>
      </c>
      <c r="M5" s="4">
        <v>230</v>
      </c>
      <c r="N5" s="4">
        <v>66</v>
      </c>
      <c r="O5" s="4">
        <v>426483</v>
      </c>
      <c r="P5" s="4">
        <v>147095</v>
      </c>
      <c r="Q5" s="4">
        <f t="shared" si="0"/>
        <v>573578</v>
      </c>
      <c r="R5" s="4">
        <v>817227</v>
      </c>
    </row>
    <row r="6" spans="1:35" x14ac:dyDescent="0.25">
      <c r="A6" s="7">
        <v>2021</v>
      </c>
      <c r="B6" s="4">
        <v>5</v>
      </c>
      <c r="C6" s="4">
        <v>3447598</v>
      </c>
      <c r="D6" s="4">
        <v>1</v>
      </c>
      <c r="E6" s="4">
        <v>20</v>
      </c>
      <c r="F6" s="4">
        <v>81</v>
      </c>
      <c r="G6" s="4">
        <v>315</v>
      </c>
      <c r="H6" s="4">
        <v>2780</v>
      </c>
      <c r="I6" s="7">
        <v>0.81469199999999997</v>
      </c>
      <c r="J6" s="4">
        <v>344</v>
      </c>
      <c r="K6" s="4">
        <v>2958</v>
      </c>
      <c r="L6" s="4">
        <v>371</v>
      </c>
      <c r="M6" s="4">
        <v>198</v>
      </c>
      <c r="N6" s="4">
        <v>75</v>
      </c>
      <c r="O6" s="4">
        <v>583812</v>
      </c>
      <c r="P6" s="4">
        <v>118189</v>
      </c>
      <c r="Q6" s="4">
        <f t="shared" si="0"/>
        <v>702001</v>
      </c>
      <c r="R6" s="4">
        <v>823861</v>
      </c>
    </row>
    <row r="7" spans="1:35" x14ac:dyDescent="0.25">
      <c r="A7" s="7">
        <v>2021</v>
      </c>
      <c r="B7" s="4">
        <v>6</v>
      </c>
      <c r="C7" s="4">
        <v>2731841</v>
      </c>
      <c r="D7" s="4">
        <v>2</v>
      </c>
      <c r="E7" s="4">
        <v>15</v>
      </c>
      <c r="F7" s="4">
        <v>70</v>
      </c>
      <c r="G7" s="4">
        <v>326</v>
      </c>
      <c r="H7" s="4">
        <v>2101</v>
      </c>
      <c r="I7" s="7">
        <v>0.82200476190476179</v>
      </c>
      <c r="J7" s="4">
        <v>354</v>
      </c>
      <c r="K7" s="4">
        <v>1870</v>
      </c>
      <c r="L7" s="4">
        <v>452</v>
      </c>
      <c r="M7" s="4">
        <v>223</v>
      </c>
      <c r="N7" s="4">
        <v>50</v>
      </c>
      <c r="O7" s="4">
        <v>552166</v>
      </c>
      <c r="P7" s="4">
        <v>144369</v>
      </c>
      <c r="Q7" s="4">
        <f t="shared" si="0"/>
        <v>696535</v>
      </c>
      <c r="R7" s="4">
        <v>826523</v>
      </c>
    </row>
    <row r="8" spans="1:35" x14ac:dyDescent="0.25">
      <c r="A8" s="7">
        <v>2021</v>
      </c>
      <c r="B8" s="4">
        <v>7</v>
      </c>
      <c r="C8" s="4">
        <v>2194738</v>
      </c>
      <c r="D8" s="4">
        <v>2</v>
      </c>
      <c r="E8" s="4">
        <v>20</v>
      </c>
      <c r="F8" s="4">
        <v>70</v>
      </c>
      <c r="G8" s="4">
        <v>444</v>
      </c>
      <c r="H8" s="4">
        <v>1724</v>
      </c>
      <c r="I8" s="7">
        <v>0.82035263157894733</v>
      </c>
      <c r="J8" s="4">
        <v>438</v>
      </c>
      <c r="K8" s="4">
        <v>2243</v>
      </c>
      <c r="L8" s="4">
        <v>303</v>
      </c>
      <c r="M8" s="4">
        <v>172</v>
      </c>
      <c r="N8" s="4">
        <v>65</v>
      </c>
      <c r="O8" s="4">
        <v>457646</v>
      </c>
      <c r="P8" s="4">
        <v>134840</v>
      </c>
      <c r="Q8" s="4">
        <f t="shared" si="0"/>
        <v>592486</v>
      </c>
      <c r="R8" s="4">
        <v>782087</v>
      </c>
    </row>
    <row r="9" spans="1:35" x14ac:dyDescent="0.25">
      <c r="A9" s="7">
        <v>2021</v>
      </c>
      <c r="B9" s="4">
        <v>8</v>
      </c>
      <c r="C9" s="4">
        <v>2699668</v>
      </c>
      <c r="D9" s="4">
        <v>1</v>
      </c>
      <c r="E9" s="4">
        <v>17</v>
      </c>
      <c r="F9" s="4">
        <v>76</v>
      </c>
      <c r="G9" s="4">
        <v>493</v>
      </c>
      <c r="H9" s="4">
        <v>2195</v>
      </c>
      <c r="I9" s="7">
        <v>0.8160400000000001</v>
      </c>
      <c r="J9" s="4">
        <v>457</v>
      </c>
      <c r="K9" s="4">
        <v>2829</v>
      </c>
      <c r="L9" s="4">
        <v>288</v>
      </c>
      <c r="M9" s="4">
        <v>185</v>
      </c>
      <c r="N9" s="4">
        <v>54</v>
      </c>
      <c r="O9" s="4">
        <v>493346</v>
      </c>
      <c r="P9" s="4">
        <v>125567</v>
      </c>
      <c r="Q9" s="4">
        <f t="shared" si="0"/>
        <v>618913</v>
      </c>
      <c r="R9" s="4">
        <v>757468</v>
      </c>
    </row>
    <row r="10" spans="1:35" x14ac:dyDescent="0.25">
      <c r="A10" s="7">
        <v>2021</v>
      </c>
      <c r="B10" s="4">
        <v>9</v>
      </c>
      <c r="C10" s="4">
        <v>2193184</v>
      </c>
      <c r="D10" s="4">
        <v>2</v>
      </c>
      <c r="E10" s="4">
        <v>20</v>
      </c>
      <c r="F10" s="4">
        <v>127</v>
      </c>
      <c r="G10" s="4">
        <v>255</v>
      </c>
      <c r="H10" s="4">
        <v>1900</v>
      </c>
      <c r="I10" s="7">
        <v>0.81596666666666651</v>
      </c>
      <c r="J10" s="4">
        <v>299</v>
      </c>
      <c r="K10" s="4">
        <v>2196</v>
      </c>
      <c r="L10" s="4">
        <v>411</v>
      </c>
      <c r="M10" s="4">
        <v>211</v>
      </c>
      <c r="N10" s="4">
        <v>56</v>
      </c>
      <c r="O10" s="4">
        <v>527025</v>
      </c>
      <c r="P10" s="4">
        <v>168925</v>
      </c>
      <c r="Q10" s="4">
        <f t="shared" si="0"/>
        <v>695950</v>
      </c>
      <c r="R10" s="4">
        <v>753312</v>
      </c>
    </row>
    <row r="11" spans="1:35" x14ac:dyDescent="0.25">
      <c r="A11" s="7">
        <v>2021</v>
      </c>
      <c r="B11" s="4">
        <v>10</v>
      </c>
      <c r="C11" s="4">
        <v>3010886</v>
      </c>
      <c r="D11" s="4">
        <v>1</v>
      </c>
      <c r="E11" s="4">
        <v>19</v>
      </c>
      <c r="F11" s="4">
        <v>81</v>
      </c>
      <c r="G11" s="4">
        <v>205</v>
      </c>
      <c r="H11" s="4">
        <v>2169</v>
      </c>
      <c r="I11" s="4">
        <v>0.81227619047619048</v>
      </c>
      <c r="J11" s="4">
        <v>368</v>
      </c>
      <c r="K11" s="4">
        <v>2793</v>
      </c>
      <c r="L11" s="4">
        <v>387</v>
      </c>
      <c r="M11" s="4">
        <v>170</v>
      </c>
      <c r="N11" s="4">
        <v>31</v>
      </c>
      <c r="O11" s="4">
        <v>542694</v>
      </c>
      <c r="P11" s="4">
        <v>109333</v>
      </c>
      <c r="Q11" s="4">
        <f t="shared" si="0"/>
        <v>652027</v>
      </c>
      <c r="R11" s="4">
        <v>715372</v>
      </c>
    </row>
    <row r="12" spans="1:35" x14ac:dyDescent="0.25">
      <c r="A12" s="7">
        <v>2021</v>
      </c>
      <c r="B12" s="4">
        <v>11</v>
      </c>
      <c r="C12" s="4">
        <v>2330976</v>
      </c>
      <c r="D12" s="4">
        <v>2</v>
      </c>
      <c r="E12" s="4">
        <v>20</v>
      </c>
      <c r="F12" s="4">
        <v>90</v>
      </c>
      <c r="G12" s="4">
        <v>514</v>
      </c>
      <c r="H12" s="4">
        <v>2638</v>
      </c>
      <c r="I12" s="4">
        <v>0.81126666666666669</v>
      </c>
      <c r="J12" s="4">
        <v>493</v>
      </c>
      <c r="K12" s="4">
        <v>3057</v>
      </c>
      <c r="L12" s="4">
        <v>464</v>
      </c>
      <c r="M12" s="4">
        <v>236</v>
      </c>
      <c r="N12" s="4">
        <v>52</v>
      </c>
      <c r="O12" s="4">
        <v>569498</v>
      </c>
      <c r="P12" s="4">
        <v>135425</v>
      </c>
      <c r="Q12" s="4">
        <f t="shared" si="0"/>
        <v>704923</v>
      </c>
      <c r="R12" s="4">
        <v>711027</v>
      </c>
    </row>
    <row r="13" spans="1:35" x14ac:dyDescent="0.25">
      <c r="A13" s="7">
        <v>2021</v>
      </c>
      <c r="B13" s="4">
        <v>12</v>
      </c>
      <c r="C13" s="4">
        <v>3410946</v>
      </c>
      <c r="D13" s="4">
        <v>1</v>
      </c>
      <c r="E13" s="4">
        <v>15</v>
      </c>
      <c r="F13" s="4">
        <v>128</v>
      </c>
      <c r="G13" s="4">
        <v>318</v>
      </c>
      <c r="H13" s="4">
        <v>2516</v>
      </c>
      <c r="I13" s="4">
        <v>0.8054782608695652</v>
      </c>
      <c r="J13" s="4">
        <v>508</v>
      </c>
      <c r="K13" s="4">
        <v>2777</v>
      </c>
      <c r="L13" s="4">
        <v>332</v>
      </c>
      <c r="M13" s="4">
        <v>169</v>
      </c>
      <c r="N13" s="4">
        <v>62</v>
      </c>
      <c r="O13" s="4">
        <v>441975</v>
      </c>
      <c r="P13" s="4">
        <v>193824</v>
      </c>
      <c r="Q13" s="4">
        <f t="shared" si="0"/>
        <v>635799</v>
      </c>
      <c r="R13" s="4">
        <v>845924</v>
      </c>
    </row>
    <row r="14" spans="1:35" x14ac:dyDescent="0.25">
      <c r="A14" s="7">
        <v>2022</v>
      </c>
      <c r="B14" s="4">
        <v>1</v>
      </c>
      <c r="C14" s="4">
        <v>3444143</v>
      </c>
      <c r="D14" s="4">
        <v>1</v>
      </c>
      <c r="E14" s="4">
        <v>19</v>
      </c>
      <c r="F14" s="4">
        <v>111</v>
      </c>
      <c r="G14" s="4">
        <v>409</v>
      </c>
      <c r="H14" s="4">
        <v>2204</v>
      </c>
      <c r="I14" s="4">
        <v>0.81038947368421044</v>
      </c>
      <c r="J14" s="4">
        <v>298</v>
      </c>
      <c r="K14" s="4">
        <v>2583</v>
      </c>
      <c r="L14" s="4">
        <v>266</v>
      </c>
      <c r="M14" s="4">
        <v>154</v>
      </c>
      <c r="N14" s="4">
        <v>37</v>
      </c>
      <c r="O14" s="4">
        <v>486015</v>
      </c>
      <c r="P14" s="4">
        <v>162479</v>
      </c>
      <c r="Q14" s="4">
        <f t="shared" si="0"/>
        <v>648494</v>
      </c>
      <c r="R14" s="4">
        <v>750378</v>
      </c>
    </row>
    <row r="15" spans="1:35" x14ac:dyDescent="0.25">
      <c r="A15" s="7">
        <v>2022</v>
      </c>
      <c r="B15" s="4">
        <v>2</v>
      </c>
      <c r="C15" s="4">
        <v>3399121</v>
      </c>
      <c r="D15" s="4">
        <v>1</v>
      </c>
      <c r="E15" s="4">
        <v>20</v>
      </c>
      <c r="F15" s="4">
        <v>175</v>
      </c>
      <c r="G15" s="4">
        <v>211</v>
      </c>
      <c r="H15" s="4">
        <v>1962</v>
      </c>
      <c r="I15" s="4">
        <v>0.81436000000000008</v>
      </c>
      <c r="J15" s="4">
        <v>484</v>
      </c>
      <c r="K15" s="4">
        <v>1804</v>
      </c>
      <c r="L15" s="4">
        <v>309</v>
      </c>
      <c r="M15" s="4">
        <v>238</v>
      </c>
      <c r="N15" s="4">
        <v>48</v>
      </c>
      <c r="O15" s="4">
        <v>484475</v>
      </c>
      <c r="P15" s="4">
        <v>145120</v>
      </c>
      <c r="Q15" s="4">
        <f t="shared" si="0"/>
        <v>629595</v>
      </c>
      <c r="R15" s="4">
        <v>806654</v>
      </c>
    </row>
    <row r="16" spans="1:35" x14ac:dyDescent="0.25">
      <c r="A16" s="7">
        <v>2022</v>
      </c>
      <c r="B16" s="4">
        <v>3</v>
      </c>
      <c r="C16" s="4">
        <v>3117511</v>
      </c>
      <c r="D16" s="4">
        <v>1</v>
      </c>
      <c r="E16" s="4">
        <v>49</v>
      </c>
      <c r="F16" s="4">
        <v>129</v>
      </c>
      <c r="G16" s="4">
        <v>461</v>
      </c>
      <c r="H16" s="4">
        <v>2567</v>
      </c>
      <c r="I16" s="4">
        <v>0.80988571428571443</v>
      </c>
      <c r="J16" s="4">
        <v>476</v>
      </c>
      <c r="K16" s="4">
        <v>1542</v>
      </c>
      <c r="L16" s="4">
        <v>495</v>
      </c>
      <c r="M16" s="4">
        <v>201</v>
      </c>
      <c r="N16" s="4">
        <v>61</v>
      </c>
      <c r="O16" s="4">
        <v>668355</v>
      </c>
      <c r="P16" s="4">
        <v>121134</v>
      </c>
      <c r="Q16" s="4">
        <f t="shared" si="0"/>
        <v>789489</v>
      </c>
      <c r="R16" s="4">
        <v>827438</v>
      </c>
    </row>
    <row r="17" spans="1:18" x14ac:dyDescent="0.25">
      <c r="A17" s="7">
        <v>2022</v>
      </c>
      <c r="B17" s="4">
        <v>4</v>
      </c>
      <c r="C17" s="4">
        <v>2767228</v>
      </c>
      <c r="D17" s="4">
        <v>1</v>
      </c>
      <c r="E17" s="4">
        <v>15</v>
      </c>
      <c r="F17" s="4">
        <v>137</v>
      </c>
      <c r="G17" s="4">
        <v>453</v>
      </c>
      <c r="H17" s="4">
        <v>1619</v>
      </c>
      <c r="I17" s="4">
        <v>0.80445833333333328</v>
      </c>
      <c r="J17" s="4">
        <v>407</v>
      </c>
      <c r="K17" s="4">
        <v>2196</v>
      </c>
      <c r="L17" s="4">
        <v>418</v>
      </c>
      <c r="M17" s="4">
        <v>164</v>
      </c>
      <c r="N17" s="4">
        <v>42</v>
      </c>
      <c r="O17" s="4">
        <v>629882</v>
      </c>
      <c r="P17" s="4">
        <v>126380</v>
      </c>
      <c r="Q17" s="4">
        <f t="shared" si="0"/>
        <v>756262</v>
      </c>
      <c r="R17" s="4">
        <v>845322</v>
      </c>
    </row>
    <row r="18" spans="1:18" x14ac:dyDescent="0.25">
      <c r="A18" s="7">
        <v>2022</v>
      </c>
      <c r="B18" s="4">
        <v>5</v>
      </c>
      <c r="C18" s="4">
        <v>2747945</v>
      </c>
      <c r="D18" s="4">
        <v>1</v>
      </c>
      <c r="E18" s="4">
        <v>19</v>
      </c>
      <c r="F18" s="4">
        <v>72</v>
      </c>
      <c r="G18" s="4">
        <v>299</v>
      </c>
      <c r="H18" s="4">
        <v>2204</v>
      </c>
      <c r="I18" s="4">
        <v>0.78725238095238093</v>
      </c>
      <c r="J18" s="4">
        <v>294</v>
      </c>
      <c r="K18" s="4">
        <v>1667</v>
      </c>
      <c r="L18" s="4">
        <v>371</v>
      </c>
      <c r="M18" s="4">
        <v>243</v>
      </c>
      <c r="N18" s="4">
        <v>53</v>
      </c>
      <c r="O18" s="4">
        <v>546336</v>
      </c>
      <c r="P18" s="4">
        <v>160870</v>
      </c>
      <c r="Q18" s="4">
        <f t="shared" si="0"/>
        <v>707206</v>
      </c>
      <c r="R18" s="4">
        <v>720588</v>
      </c>
    </row>
    <row r="19" spans="1:18" x14ac:dyDescent="0.25">
      <c r="A19" s="7">
        <v>2022</v>
      </c>
      <c r="B19" s="4">
        <v>6</v>
      </c>
      <c r="C19" s="4">
        <v>3181466</v>
      </c>
      <c r="D19" s="4">
        <v>2</v>
      </c>
      <c r="E19" s="4">
        <v>17</v>
      </c>
      <c r="F19" s="4">
        <v>143</v>
      </c>
      <c r="G19" s="4">
        <v>466</v>
      </c>
      <c r="H19" s="4">
        <v>2606</v>
      </c>
      <c r="I19" s="7">
        <v>0.81566666666666654</v>
      </c>
      <c r="J19" s="4">
        <v>423</v>
      </c>
      <c r="K19" s="4">
        <v>2064</v>
      </c>
      <c r="L19" s="4">
        <v>332</v>
      </c>
      <c r="M19" s="4">
        <v>180</v>
      </c>
      <c r="N19" s="4">
        <v>74</v>
      </c>
      <c r="O19" s="4">
        <v>620960</v>
      </c>
      <c r="P19" s="4">
        <v>198822</v>
      </c>
      <c r="Q19" s="4">
        <f t="shared" si="0"/>
        <v>819782</v>
      </c>
      <c r="R19" s="4">
        <v>877321</v>
      </c>
    </row>
    <row r="20" spans="1:18" x14ac:dyDescent="0.25">
      <c r="A20" s="7">
        <v>2022</v>
      </c>
      <c r="B20" s="4">
        <v>7</v>
      </c>
      <c r="C20" s="4">
        <v>2023347</v>
      </c>
      <c r="D20" s="4">
        <v>1</v>
      </c>
      <c r="E20" s="4">
        <v>15</v>
      </c>
      <c r="F20" s="4">
        <v>65</v>
      </c>
      <c r="G20" s="4">
        <v>266</v>
      </c>
      <c r="H20" s="4">
        <v>2680</v>
      </c>
      <c r="I20" s="7">
        <v>0.81469199999999997</v>
      </c>
      <c r="J20" s="4">
        <v>369</v>
      </c>
      <c r="K20" s="4">
        <v>2447</v>
      </c>
      <c r="L20" s="4">
        <v>345</v>
      </c>
      <c r="M20" s="4">
        <v>167</v>
      </c>
      <c r="N20" s="4">
        <v>41</v>
      </c>
      <c r="O20" s="4">
        <v>544375</v>
      </c>
      <c r="P20" s="4">
        <v>194916</v>
      </c>
      <c r="Q20" s="4">
        <f t="shared" si="0"/>
        <v>739291</v>
      </c>
      <c r="R20" s="4">
        <v>871007</v>
      </c>
    </row>
    <row r="21" spans="1:18" x14ac:dyDescent="0.25">
      <c r="A21" s="7">
        <v>2022</v>
      </c>
      <c r="B21" s="4">
        <v>8</v>
      </c>
      <c r="C21" s="4">
        <v>3414282</v>
      </c>
      <c r="D21" s="4">
        <v>2</v>
      </c>
      <c r="E21" s="4">
        <v>15</v>
      </c>
      <c r="F21" s="4">
        <v>64</v>
      </c>
      <c r="G21" s="4">
        <v>261</v>
      </c>
      <c r="H21" s="4">
        <v>1955</v>
      </c>
      <c r="I21" s="7">
        <v>0.8123041666666666</v>
      </c>
      <c r="J21" s="4">
        <v>436</v>
      </c>
      <c r="K21" s="4">
        <v>2834</v>
      </c>
      <c r="L21" s="4">
        <v>459</v>
      </c>
      <c r="M21" s="4">
        <v>246</v>
      </c>
      <c r="N21" s="4">
        <v>42</v>
      </c>
      <c r="O21" s="4">
        <v>481676</v>
      </c>
      <c r="P21" s="4">
        <v>214710</v>
      </c>
      <c r="Q21" s="4">
        <f t="shared" si="0"/>
        <v>696386</v>
      </c>
      <c r="R21" s="4">
        <v>846253</v>
      </c>
    </row>
    <row r="22" spans="1:18" x14ac:dyDescent="0.25">
      <c r="A22" s="7">
        <v>2022</v>
      </c>
      <c r="B22" s="4">
        <v>9</v>
      </c>
      <c r="C22" s="4">
        <v>2070692</v>
      </c>
      <c r="D22" s="4">
        <v>1</v>
      </c>
      <c r="E22" s="4">
        <v>19</v>
      </c>
      <c r="F22" s="4">
        <v>162</v>
      </c>
      <c r="G22" s="4">
        <v>381</v>
      </c>
      <c r="H22" s="4">
        <v>2340</v>
      </c>
      <c r="I22" s="4">
        <v>0.81436000000000008</v>
      </c>
      <c r="J22" s="4">
        <v>362</v>
      </c>
      <c r="K22" s="4">
        <v>2634</v>
      </c>
      <c r="L22" s="4">
        <v>313</v>
      </c>
      <c r="M22" s="4">
        <v>231</v>
      </c>
      <c r="N22" s="4">
        <v>36</v>
      </c>
      <c r="O22" s="4">
        <v>510959</v>
      </c>
      <c r="P22" s="4">
        <v>156189</v>
      </c>
      <c r="Q22" s="4">
        <f t="shared" si="0"/>
        <v>667148</v>
      </c>
      <c r="R22" s="4">
        <v>778529</v>
      </c>
    </row>
    <row r="23" spans="1:18" x14ac:dyDescent="0.25">
      <c r="A23" s="7">
        <v>2022</v>
      </c>
      <c r="B23" s="4">
        <v>10</v>
      </c>
      <c r="C23" s="4">
        <v>2927042</v>
      </c>
      <c r="D23" s="4">
        <v>1</v>
      </c>
      <c r="E23" s="4">
        <v>19</v>
      </c>
      <c r="F23" s="4">
        <v>130</v>
      </c>
      <c r="G23" s="4">
        <v>400</v>
      </c>
      <c r="H23" s="4">
        <v>2219</v>
      </c>
      <c r="I23" s="4">
        <v>0.80988571428571443</v>
      </c>
      <c r="J23" s="4">
        <v>319</v>
      </c>
      <c r="K23" s="4">
        <v>2971</v>
      </c>
      <c r="L23" s="4">
        <v>276</v>
      </c>
      <c r="M23" s="4">
        <v>166</v>
      </c>
      <c r="N23" s="4">
        <v>58</v>
      </c>
      <c r="O23" s="4">
        <v>681102</v>
      </c>
      <c r="P23" s="4">
        <v>218038</v>
      </c>
      <c r="Q23" s="4">
        <f t="shared" si="0"/>
        <v>899140</v>
      </c>
      <c r="R23" s="4">
        <v>769392</v>
      </c>
    </row>
    <row r="24" spans="1:18" x14ac:dyDescent="0.25">
      <c r="A24" s="7">
        <v>2022</v>
      </c>
      <c r="B24" s="4">
        <v>11</v>
      </c>
      <c r="C24" s="4">
        <v>2452899</v>
      </c>
      <c r="D24" s="4">
        <v>2</v>
      </c>
      <c r="E24" s="4">
        <v>16</v>
      </c>
      <c r="F24" s="4">
        <v>81</v>
      </c>
      <c r="G24" s="4">
        <v>481</v>
      </c>
      <c r="H24" s="4">
        <v>2365</v>
      </c>
      <c r="I24" s="4">
        <v>0.80445833333333328</v>
      </c>
      <c r="J24" s="4">
        <v>369</v>
      </c>
      <c r="K24" s="4">
        <v>2563</v>
      </c>
      <c r="L24" s="4">
        <v>395</v>
      </c>
      <c r="M24" s="4">
        <v>244</v>
      </c>
      <c r="N24" s="4">
        <v>36</v>
      </c>
      <c r="O24" s="4">
        <v>564174</v>
      </c>
      <c r="P24" s="4">
        <v>135172</v>
      </c>
      <c r="Q24" s="4">
        <f t="shared" si="0"/>
        <v>699346</v>
      </c>
      <c r="R24" s="4">
        <v>797877</v>
      </c>
    </row>
    <row r="25" spans="1:18" x14ac:dyDescent="0.25">
      <c r="A25" s="7">
        <v>2022</v>
      </c>
      <c r="B25" s="4">
        <v>12</v>
      </c>
      <c r="C25" s="4">
        <v>2683308</v>
      </c>
      <c r="D25" s="4">
        <v>1</v>
      </c>
      <c r="E25" s="4">
        <v>22</v>
      </c>
      <c r="F25" s="4">
        <v>107</v>
      </c>
      <c r="G25" s="4">
        <v>408</v>
      </c>
      <c r="H25" s="4">
        <v>2504</v>
      </c>
      <c r="I25" s="4">
        <v>0.78725238095238093</v>
      </c>
      <c r="J25" s="4">
        <v>360</v>
      </c>
      <c r="K25" s="4">
        <v>1768</v>
      </c>
      <c r="L25" s="4">
        <v>266</v>
      </c>
      <c r="M25" s="4">
        <v>174</v>
      </c>
      <c r="N25" s="4">
        <v>48</v>
      </c>
      <c r="O25" s="4">
        <v>658635</v>
      </c>
      <c r="P25" s="4">
        <v>223393</v>
      </c>
      <c r="Q25" s="4">
        <f t="shared" si="0"/>
        <v>882028</v>
      </c>
      <c r="R25" s="4">
        <v>827713</v>
      </c>
    </row>
    <row r="26" spans="1:18" x14ac:dyDescent="0.25">
      <c r="A26" s="7">
        <v>2023</v>
      </c>
      <c r="B26" s="4">
        <v>1</v>
      </c>
      <c r="C26" s="4">
        <v>3114820</v>
      </c>
      <c r="D26" s="4">
        <v>2</v>
      </c>
      <c r="E26" s="4">
        <v>22</v>
      </c>
      <c r="F26" s="4">
        <v>118</v>
      </c>
      <c r="G26" s="4">
        <v>233</v>
      </c>
      <c r="H26" s="4">
        <v>2128</v>
      </c>
      <c r="I26" s="7">
        <v>0.79474999999999996</v>
      </c>
      <c r="J26" s="4">
        <v>430</v>
      </c>
      <c r="K26" s="4">
        <v>3038</v>
      </c>
      <c r="L26" s="4">
        <v>341</v>
      </c>
      <c r="M26" s="4">
        <v>198</v>
      </c>
      <c r="N26" s="4">
        <v>47</v>
      </c>
      <c r="O26" s="4">
        <v>563623</v>
      </c>
      <c r="P26" s="4">
        <v>216409</v>
      </c>
      <c r="Q26" s="4">
        <f t="shared" si="0"/>
        <v>780032</v>
      </c>
      <c r="R26" s="4">
        <v>717077</v>
      </c>
    </row>
    <row r="27" spans="1:18" x14ac:dyDescent="0.25">
      <c r="A27" s="7">
        <v>2023</v>
      </c>
      <c r="B27" s="4">
        <v>2</v>
      </c>
      <c r="C27" s="4">
        <v>2090529</v>
      </c>
      <c r="D27" s="4">
        <v>1</v>
      </c>
      <c r="E27" s="4">
        <v>14</v>
      </c>
      <c r="F27" s="4">
        <v>124</v>
      </c>
      <c r="G27" s="4">
        <v>391</v>
      </c>
      <c r="H27" s="4">
        <v>1593</v>
      </c>
      <c r="I27" s="7">
        <v>0.79696956521739115</v>
      </c>
      <c r="J27" s="4">
        <v>443</v>
      </c>
      <c r="K27" s="4">
        <v>2749</v>
      </c>
      <c r="L27" s="4">
        <v>491</v>
      </c>
      <c r="M27" s="4">
        <v>193</v>
      </c>
      <c r="N27" s="4">
        <v>32</v>
      </c>
      <c r="O27" s="4">
        <v>485236</v>
      </c>
      <c r="P27" s="4">
        <v>194919</v>
      </c>
      <c r="Q27" s="4">
        <f t="shared" si="0"/>
        <v>680155</v>
      </c>
      <c r="R27" s="4">
        <v>751947</v>
      </c>
    </row>
    <row r="28" spans="1:18" x14ac:dyDescent="0.25">
      <c r="A28" s="7">
        <v>2023</v>
      </c>
      <c r="B28" s="4">
        <v>3</v>
      </c>
      <c r="C28" s="4">
        <v>3440753</v>
      </c>
      <c r="D28" s="4">
        <v>1</v>
      </c>
      <c r="E28" s="4">
        <v>17</v>
      </c>
      <c r="F28" s="4">
        <v>69</v>
      </c>
      <c r="G28" s="4">
        <v>400</v>
      </c>
      <c r="H28" s="4">
        <v>2382</v>
      </c>
      <c r="I28" s="7">
        <v>0.79644347826086959</v>
      </c>
      <c r="J28" s="4">
        <v>297</v>
      </c>
      <c r="K28" s="4">
        <v>2681</v>
      </c>
      <c r="L28" s="4">
        <v>470</v>
      </c>
      <c r="M28" s="4">
        <v>177</v>
      </c>
      <c r="N28" s="4">
        <v>66</v>
      </c>
      <c r="O28" s="4">
        <v>448887</v>
      </c>
      <c r="P28" s="4">
        <v>145680</v>
      </c>
      <c r="Q28" s="4">
        <f t="shared" si="0"/>
        <v>594567</v>
      </c>
      <c r="R28" s="4">
        <v>854918</v>
      </c>
    </row>
    <row r="29" spans="1:18" x14ac:dyDescent="0.25">
      <c r="A29" s="7">
        <v>2023</v>
      </c>
      <c r="B29" s="4">
        <v>4</v>
      </c>
      <c r="C29" s="4">
        <v>2361512</v>
      </c>
      <c r="D29" s="4">
        <v>1</v>
      </c>
      <c r="E29" s="4">
        <v>21</v>
      </c>
      <c r="F29" s="4">
        <v>171</v>
      </c>
      <c r="G29" s="4">
        <v>258</v>
      </c>
      <c r="H29" s="4">
        <v>1614</v>
      </c>
      <c r="I29" s="7">
        <v>0.80820869565217379</v>
      </c>
      <c r="J29" s="4">
        <v>339</v>
      </c>
      <c r="K29" s="4">
        <v>1810</v>
      </c>
      <c r="L29" s="4">
        <v>334</v>
      </c>
      <c r="M29" s="4">
        <v>160</v>
      </c>
      <c r="N29" s="4">
        <v>59</v>
      </c>
      <c r="O29" s="4">
        <v>473719</v>
      </c>
      <c r="P29" s="4">
        <v>179901</v>
      </c>
      <c r="Q29" s="4">
        <f t="shared" si="0"/>
        <v>653620</v>
      </c>
      <c r="R29" s="4">
        <v>868755</v>
      </c>
    </row>
    <row r="30" spans="1:18" x14ac:dyDescent="0.25">
      <c r="A30" s="7">
        <v>2023</v>
      </c>
      <c r="B30" s="4">
        <v>5</v>
      </c>
      <c r="C30" s="4">
        <v>2299834</v>
      </c>
      <c r="D30" s="4">
        <v>1</v>
      </c>
      <c r="E30" s="4">
        <v>19</v>
      </c>
      <c r="F30" s="4">
        <v>65</v>
      </c>
      <c r="G30" s="4">
        <v>431</v>
      </c>
      <c r="H30" s="4">
        <v>2393</v>
      </c>
      <c r="I30" s="7">
        <v>0.81469199999999997</v>
      </c>
      <c r="J30" s="4">
        <v>326</v>
      </c>
      <c r="K30" s="4">
        <v>1507</v>
      </c>
      <c r="L30" s="4">
        <v>338</v>
      </c>
      <c r="M30" s="4">
        <v>164</v>
      </c>
      <c r="N30" s="4">
        <v>39</v>
      </c>
      <c r="O30" s="4">
        <v>437414</v>
      </c>
      <c r="P30" s="4">
        <v>168259</v>
      </c>
      <c r="Q30" s="4">
        <f t="shared" si="0"/>
        <v>605673</v>
      </c>
      <c r="R30" s="4">
        <v>863246</v>
      </c>
    </row>
    <row r="31" spans="1:18" x14ac:dyDescent="0.25">
      <c r="A31" s="7">
        <v>2023</v>
      </c>
      <c r="B31" s="4">
        <v>6</v>
      </c>
      <c r="C31" s="4">
        <v>2524014</v>
      </c>
      <c r="D31" s="4">
        <v>2</v>
      </c>
      <c r="E31" s="4">
        <v>14</v>
      </c>
      <c r="F31" s="4">
        <v>67</v>
      </c>
      <c r="G31" s="4">
        <v>309</v>
      </c>
      <c r="H31" s="4">
        <v>1577</v>
      </c>
      <c r="I31" s="7">
        <v>0.82200476190476179</v>
      </c>
      <c r="J31" s="4">
        <v>455</v>
      </c>
      <c r="K31" s="4">
        <v>3049</v>
      </c>
      <c r="L31" s="4">
        <v>302</v>
      </c>
      <c r="M31" s="4">
        <v>171</v>
      </c>
      <c r="N31" s="4">
        <v>28</v>
      </c>
      <c r="O31" s="4">
        <v>419235</v>
      </c>
      <c r="P31" s="4">
        <v>135422</v>
      </c>
      <c r="Q31" s="4">
        <f t="shared" si="0"/>
        <v>554657</v>
      </c>
      <c r="R31" s="4">
        <v>711190</v>
      </c>
    </row>
    <row r="32" spans="1:18" x14ac:dyDescent="0.25">
      <c r="A32" s="7">
        <v>2023</v>
      </c>
      <c r="B32" s="4">
        <v>7</v>
      </c>
      <c r="C32" s="4">
        <v>2631844</v>
      </c>
      <c r="D32" s="4">
        <v>2</v>
      </c>
      <c r="E32" s="4">
        <v>16</v>
      </c>
      <c r="F32" s="4">
        <v>87</v>
      </c>
      <c r="G32" s="4">
        <v>251</v>
      </c>
      <c r="H32" s="4">
        <v>2746</v>
      </c>
      <c r="I32" s="7">
        <v>0.82035263157894733</v>
      </c>
      <c r="J32" s="4">
        <v>446</v>
      </c>
      <c r="K32" s="4">
        <v>2535</v>
      </c>
      <c r="L32" s="4">
        <v>284</v>
      </c>
      <c r="M32" s="4">
        <v>209</v>
      </c>
      <c r="N32" s="4">
        <v>44</v>
      </c>
      <c r="O32" s="4">
        <v>529253</v>
      </c>
      <c r="P32" s="4">
        <v>183974</v>
      </c>
      <c r="Q32" s="4">
        <f t="shared" si="0"/>
        <v>713227</v>
      </c>
      <c r="R32" s="4">
        <v>740080</v>
      </c>
    </row>
    <row r="33" spans="1:18" x14ac:dyDescent="0.25">
      <c r="A33" s="7">
        <v>2023</v>
      </c>
      <c r="B33" s="4">
        <v>8</v>
      </c>
      <c r="C33" s="4">
        <v>3326814</v>
      </c>
      <c r="D33" s="4">
        <v>2</v>
      </c>
      <c r="E33" s="4">
        <v>19</v>
      </c>
      <c r="F33" s="4">
        <v>94</v>
      </c>
      <c r="G33" s="4">
        <v>369</v>
      </c>
      <c r="H33" s="4">
        <v>2026</v>
      </c>
      <c r="I33" s="7">
        <v>0.8160400000000001</v>
      </c>
      <c r="J33" s="4">
        <v>481</v>
      </c>
      <c r="K33" s="4">
        <v>1800</v>
      </c>
      <c r="L33" s="4">
        <v>473</v>
      </c>
      <c r="M33" s="4">
        <v>238</v>
      </c>
      <c r="N33" s="4">
        <v>56</v>
      </c>
      <c r="O33" s="4">
        <v>638225</v>
      </c>
      <c r="P33" s="4">
        <v>176135</v>
      </c>
      <c r="Q33" s="4">
        <f t="shared" si="0"/>
        <v>814360</v>
      </c>
      <c r="R33" s="4">
        <v>765898</v>
      </c>
    </row>
    <row r="34" spans="1:18" x14ac:dyDescent="0.25">
      <c r="A34" s="7">
        <v>2023</v>
      </c>
      <c r="B34" s="4">
        <v>9</v>
      </c>
      <c r="C34" s="4">
        <v>2373342</v>
      </c>
      <c r="D34" s="4">
        <v>1</v>
      </c>
      <c r="E34" s="4">
        <v>18</v>
      </c>
      <c r="F34" s="4">
        <v>115</v>
      </c>
      <c r="G34" s="4">
        <v>219</v>
      </c>
      <c r="H34" s="4">
        <v>2762</v>
      </c>
      <c r="I34" s="7">
        <v>0.81596666666666651</v>
      </c>
      <c r="J34" s="4">
        <v>528</v>
      </c>
      <c r="K34" s="4">
        <v>2475</v>
      </c>
      <c r="L34" s="4">
        <v>290</v>
      </c>
      <c r="M34" s="4">
        <v>220</v>
      </c>
      <c r="N34" s="4">
        <v>39</v>
      </c>
      <c r="O34" s="4">
        <v>641271</v>
      </c>
      <c r="P34" s="4">
        <v>95867</v>
      </c>
      <c r="Q34" s="4">
        <f t="shared" si="0"/>
        <v>737138</v>
      </c>
      <c r="R34" s="4">
        <v>793436</v>
      </c>
    </row>
    <row r="35" spans="1:18" x14ac:dyDescent="0.25">
      <c r="A35" s="7">
        <v>2023</v>
      </c>
      <c r="B35" s="4">
        <v>10</v>
      </c>
      <c r="C35" s="4">
        <v>2582067</v>
      </c>
      <c r="D35" s="4">
        <v>2</v>
      </c>
      <c r="E35" s="4">
        <v>14</v>
      </c>
      <c r="F35" s="4">
        <v>109</v>
      </c>
      <c r="G35" s="4">
        <v>392</v>
      </c>
      <c r="H35" s="4">
        <v>2367</v>
      </c>
      <c r="I35" s="4">
        <v>0.81227619047619048</v>
      </c>
      <c r="J35" s="4">
        <v>488</v>
      </c>
      <c r="K35" s="4">
        <v>3071</v>
      </c>
      <c r="L35" s="4">
        <v>314</v>
      </c>
      <c r="M35" s="4">
        <v>160</v>
      </c>
      <c r="N35" s="4">
        <v>37</v>
      </c>
      <c r="O35" s="4">
        <v>447655</v>
      </c>
      <c r="P35" s="4">
        <v>206379</v>
      </c>
      <c r="Q35" s="4">
        <f t="shared" si="0"/>
        <v>654034</v>
      </c>
      <c r="R35" s="4">
        <v>818685</v>
      </c>
    </row>
    <row r="36" spans="1:18" x14ac:dyDescent="0.25">
      <c r="A36" s="7">
        <v>2023</v>
      </c>
      <c r="B36" s="4">
        <v>11</v>
      </c>
      <c r="C36" s="4">
        <v>3355046</v>
      </c>
      <c r="D36" s="4">
        <v>2</v>
      </c>
      <c r="E36" s="4">
        <v>20</v>
      </c>
      <c r="F36" s="4">
        <v>123</v>
      </c>
      <c r="G36" s="4">
        <v>215</v>
      </c>
      <c r="H36" s="4">
        <v>1900</v>
      </c>
      <c r="I36" s="4">
        <v>0.81126666666666669</v>
      </c>
      <c r="J36" s="4">
        <v>432</v>
      </c>
      <c r="K36" s="4">
        <v>2268</v>
      </c>
      <c r="L36" s="4">
        <v>464</v>
      </c>
      <c r="M36" s="4">
        <v>250</v>
      </c>
      <c r="N36" s="4">
        <v>65</v>
      </c>
      <c r="O36" s="4">
        <v>523671</v>
      </c>
      <c r="P36" s="4">
        <v>178622</v>
      </c>
      <c r="Q36" s="4">
        <f t="shared" si="0"/>
        <v>702293</v>
      </c>
      <c r="R36" s="4">
        <v>804967</v>
      </c>
    </row>
    <row r="37" spans="1:18" x14ac:dyDescent="0.25">
      <c r="A37" s="7">
        <v>2023</v>
      </c>
      <c r="B37" s="4">
        <v>12</v>
      </c>
      <c r="C37" s="4">
        <v>2220146</v>
      </c>
      <c r="D37" s="4">
        <v>1</v>
      </c>
      <c r="E37" s="4">
        <v>20</v>
      </c>
      <c r="F37" s="4">
        <v>108</v>
      </c>
      <c r="G37" s="4">
        <v>538</v>
      </c>
      <c r="H37" s="4">
        <v>1743</v>
      </c>
      <c r="I37" s="4">
        <v>0.8054782608695652</v>
      </c>
      <c r="J37" s="4">
        <v>428</v>
      </c>
      <c r="K37" s="4">
        <v>2729</v>
      </c>
      <c r="L37" s="4">
        <v>293</v>
      </c>
      <c r="M37" s="4">
        <v>203</v>
      </c>
      <c r="N37" s="4">
        <v>74</v>
      </c>
      <c r="O37" s="4">
        <v>579256</v>
      </c>
      <c r="P37" s="4">
        <v>110357</v>
      </c>
      <c r="Q37" s="4">
        <f t="shared" si="0"/>
        <v>689613</v>
      </c>
      <c r="R37" s="4">
        <v>720765</v>
      </c>
    </row>
  </sheetData>
  <pageMargins left="0.7" right="0.7" top="0.75" bottom="0.75" header="0.3" footer="0.3"/>
  <pageSetup paperSize="1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Cadam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UCSC</cp:lastModifiedBy>
  <dcterms:created xsi:type="dcterms:W3CDTF">2023-09-07T14:15:35Z</dcterms:created>
  <dcterms:modified xsi:type="dcterms:W3CDTF">2025-12-17T21:01:18Z</dcterms:modified>
</cp:coreProperties>
</file>